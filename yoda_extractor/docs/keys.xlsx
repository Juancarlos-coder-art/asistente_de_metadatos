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vier/Desktop/tmp/yoda_extractor/docs/"/>
    </mc:Choice>
  </mc:AlternateContent>
  <xr:revisionPtr revIDLastSave="0" documentId="13_ncr:1_{7359494A-3EE4-6646-B7C7-BC4555F72E6F}" xr6:coauthVersionLast="47" xr6:coauthVersionMax="47" xr10:uidLastSave="{00000000-0000-0000-0000-000000000000}"/>
  <bookViews>
    <workbookView xWindow="0" yWindow="600" windowWidth="38400" windowHeight="19180" xr2:uid="{48EFA3FF-71FE-274C-8709-BD9FD88B9D00}"/>
  </bookViews>
  <sheets>
    <sheet name="Hoja1" sheetId="1" r:id="rId1"/>
  </sheets>
  <definedNames>
    <definedName name="_xlnm._FilterDatabase" localSheetId="0" hidden="1">Hoja1!$A$1:$O$90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" i="1" l="1"/>
</calcChain>
</file>

<file path=xl/sharedStrings.xml><?xml version="1.0" encoding="utf-8"?>
<sst xmlns="http://schemas.openxmlformats.org/spreadsheetml/2006/main" count="604" uniqueCount="189">
  <si>
    <t>purpose</t>
  </si>
  <si>
    <t>language</t>
  </si>
  <si>
    <t>number_of_unique_individuals</t>
  </si>
  <si>
    <t>number_of_records</t>
  </si>
  <si>
    <t>hdab</t>
  </si>
  <si>
    <t>access_rights</t>
  </si>
  <si>
    <t>title</t>
  </si>
  <si>
    <t>identifier</t>
  </si>
  <si>
    <t>notes</t>
  </si>
  <si>
    <t>health_category</t>
  </si>
  <si>
    <t>theme</t>
  </si>
  <si>
    <t>dcat_type</t>
  </si>
  <si>
    <t>provenance</t>
  </si>
  <si>
    <t>keyword</t>
  </si>
  <si>
    <t>population_coverage</t>
  </si>
  <si>
    <t>min_typical_age</t>
  </si>
  <si>
    <t>max_typical_age</t>
  </si>
  <si>
    <t>personal_data</t>
  </si>
  <si>
    <t>legal_basis</t>
  </si>
  <si>
    <t>retention_period</t>
  </si>
  <si>
    <t>health_theme</t>
  </si>
  <si>
    <t>code_values</t>
  </si>
  <si>
    <t>coding_system</t>
  </si>
  <si>
    <t>contact</t>
  </si>
  <si>
    <t>distribution_access_url</t>
  </si>
  <si>
    <t>publisher</t>
  </si>
  <si>
    <t>publisher_note</t>
  </si>
  <si>
    <t>creator</t>
  </si>
  <si>
    <t>qualified_attribution</t>
  </si>
  <si>
    <t>was_generated_by</t>
  </si>
  <si>
    <t>spatial</t>
  </si>
  <si>
    <t>temporal_coverage</t>
  </si>
  <si>
    <t>temporal_resolution</t>
  </si>
  <si>
    <t>spatial_resolution_in_meters</t>
  </si>
  <si>
    <t>frequency</t>
  </si>
  <si>
    <t>issued</t>
  </si>
  <si>
    <t>modified</t>
  </si>
  <si>
    <t>alternate_identifier</t>
  </si>
  <si>
    <t>conforms_to</t>
  </si>
  <si>
    <t>related_resource</t>
  </si>
  <si>
    <t>is_referenced_by</t>
  </si>
  <si>
    <t>url</t>
  </si>
  <si>
    <t>documentation</t>
  </si>
  <si>
    <t>version</t>
  </si>
  <si>
    <t>has_version</t>
  </si>
  <si>
    <t>version_notes</t>
  </si>
  <si>
    <t>applicable_legislation</t>
  </si>
  <si>
    <t>Completed</t>
  </si>
  <si>
    <t>Keyword</t>
  </si>
  <si>
    <t>Pending</t>
  </si>
  <si>
    <t>Doing</t>
  </si>
  <si>
    <t>Date</t>
  </si>
  <si>
    <t>SubKeyword</t>
  </si>
  <si>
    <t>special_opening_hours_description</t>
  </si>
  <si>
    <t>special_opening_hours_frequency</t>
  </si>
  <si>
    <t>name</t>
  </si>
  <si>
    <t>type</t>
  </si>
  <si>
    <t>email</t>
  </si>
  <si>
    <t>telephone</t>
  </si>
  <si>
    <t>opening_hours_description</t>
  </si>
  <si>
    <t>opening_hours_frequency</t>
  </si>
  <si>
    <t>description</t>
  </si>
  <si>
    <t>source</t>
  </si>
  <si>
    <t>start</t>
  </si>
  <si>
    <t>end</t>
  </si>
  <si>
    <t>label</t>
  </si>
  <si>
    <t>uri</t>
  </si>
  <si>
    <t>contact_page</t>
  </si>
  <si>
    <t>qualified_attribution_agent_name</t>
  </si>
  <si>
    <t>qualified_attribution_agent_type</t>
  </si>
  <si>
    <t>qualified_attribution_agent_contact_page</t>
  </si>
  <si>
    <t>qualified_attribution_agent_email</t>
  </si>
  <si>
    <t>qualified_attribution_role</t>
  </si>
  <si>
    <t>date_column</t>
  </si>
  <si>
    <t>Comentario, dudas</t>
  </si>
  <si>
    <t>Extraction Mode</t>
  </si>
  <si>
    <t>access rights</t>
  </si>
  <si>
    <t>alternative</t>
  </si>
  <si>
    <t>analytics</t>
  </si>
  <si>
    <t>applicable legislation</t>
  </si>
  <si>
    <t>code values</t>
  </si>
  <si>
    <t>coding system</t>
  </si>
  <si>
    <t>conforms to</t>
  </si>
  <si>
    <t>contact point</t>
  </si>
  <si>
    <t>custodian</t>
  </si>
  <si>
    <t>dataset distribution</t>
  </si>
  <si>
    <t>geographical coverage</t>
  </si>
  <si>
    <t>has version</t>
  </si>
  <si>
    <t>health category</t>
  </si>
  <si>
    <t>health data access body</t>
  </si>
  <si>
    <t>health theme</t>
  </si>
  <si>
    <t>in series</t>
  </si>
  <si>
    <t>is referenced by</t>
  </si>
  <si>
    <t>landing page</t>
  </si>
  <si>
    <t>legal basis</t>
  </si>
  <si>
    <t>maximum typical age</t>
  </si>
  <si>
    <t>minimum typical age</t>
  </si>
  <si>
    <t>modification date</t>
  </si>
  <si>
    <t>number of records</t>
  </si>
  <si>
    <t>number of unique individuals</t>
  </si>
  <si>
    <t>other identifier</t>
  </si>
  <si>
    <t>personal data</t>
  </si>
  <si>
    <t>population coverage</t>
  </si>
  <si>
    <t>qualified attribution</t>
  </si>
  <si>
    <t>qualified relation</t>
  </si>
  <si>
    <t>quality annotation</t>
  </si>
  <si>
    <t>related resource</t>
  </si>
  <si>
    <t>release date</t>
  </si>
  <si>
    <t>retention period</t>
  </si>
  <si>
    <t>sample</t>
  </si>
  <si>
    <t>spatial resolution</t>
  </si>
  <si>
    <t>structured data</t>
  </si>
  <si>
    <t>temporal coverage</t>
  </si>
  <si>
    <t>temporal resolution</t>
  </si>
  <si>
    <t>variables</t>
  </si>
  <si>
    <t>version notes</t>
  </si>
  <si>
    <t>was generated by</t>
  </si>
  <si>
    <t>N</t>
  </si>
  <si>
    <t>None</t>
  </si>
  <si>
    <t>No equivalencia con HealthDCAT-AP</t>
  </si>
  <si>
    <t>HealthDCAT-AP (Dataset)</t>
  </si>
  <si>
    <t>No equivalencia exacta con HealthDCAT-AP</t>
  </si>
  <si>
    <t>-</t>
  </si>
  <si>
    <t>Cardinality HealthDCAT-AP (Dataset)</t>
  </si>
  <si>
    <t>0..*</t>
  </si>
  <si>
    <t>1..*</t>
  </si>
  <si>
    <t>Yoda</t>
  </si>
  <si>
    <t>Extraction comment</t>
  </si>
  <si>
    <t>Type Extraction</t>
  </si>
  <si>
    <t>Sample de n filas + LLM + free text + spanish</t>
  </si>
  <si>
    <t>Direct function</t>
  </si>
  <si>
    <t>Aggregation</t>
  </si>
  <si>
    <t>Df summarization</t>
  </si>
  <si>
    <t>Dedicated function</t>
  </si>
  <si>
    <t>LLM summary</t>
  </si>
  <si>
    <t>DOI o URI no se puéde sacar del dataset directamente</t>
  </si>
  <si>
    <t>User</t>
  </si>
  <si>
    <t>Static</t>
  </si>
  <si>
    <t>Definition</t>
  </si>
  <si>
    <t>Direct value</t>
  </si>
  <si>
    <t>http://publications.europa.eu/resource/authority/access-right/PUBLIC</t>
  </si>
  <si>
    <t>{
      "uri": "http://data.europa.eu/eli/reg/2016/679/oj",
      "label": "GDPR"
    },
    {
      "uri": "http://data.europa.eu/eli/reg/2025/327/oj",
      "label": "Reglamento EHDS"
    }</t>
  </si>
  <si>
    <t>Qué códigos a utilizar, porque es free text</t>
  </si>
  <si>
    <t>Controlled Vocabulary</t>
  </si>
  <si>
    <t>No aplica</t>
  </si>
  <si>
    <t>Geospatial</t>
  </si>
  <si>
    <t>https://hdeu-dcat.acceptance.data.health.europa.eu/resource/authority/publisher-type/</t>
  </si>
  <si>
    <t>DOI or URI que referencian a este dataset</t>
  </si>
  <si>
    <t>http://data.europa.eu/eli/reg/2016/679/oj</t>
  </si>
  <si>
    <t>"No aplica"</t>
  </si>
  <si>
    <t>https://w3id.org/dpv/dpv-pd</t>
  </si>
  <si>
    <t>LLM summary with aggregated fraemework</t>
  </si>
  <si>
    <t>Today</t>
  </si>
  <si>
    <t>http://publications.europa.eu/resource/authority/data-theme/HEAL</t>
  </si>
  <si>
    <t>Debería ser HEAL en todos los casos no si estamos en HealthDCAT-AP</t>
  </si>
  <si>
    <t>Title of the dataset</t>
  </si>
  <si>
    <t>Information about the purpose for which the data or personal data is processed; this property may be expressed as free text</t>
  </si>
  <si>
    <t>Language of the dataset. Include the international code in  alfa-3 from ISO 639-3</t>
  </si>
  <si>
    <t>Requires LLM</t>
  </si>
  <si>
    <t>Yes</t>
  </si>
  <si>
    <t>No</t>
  </si>
  <si>
    <t>Brief description of the dataset</t>
  </si>
  <si>
    <t>Yes-later</t>
  </si>
  <si>
    <t>Keywords or tags describing the Dataset separated by ";"</t>
  </si>
  <si>
    <t>Done</t>
  </si>
  <si>
    <t>A definition of the population within the dataset. E.g.: "Children under 12 years old with asthma treated in public hospitals in France between 2018 and 2023. Or more generic"</t>
  </si>
  <si>
    <t>Minimum typical age of the population within the dataset.</t>
  </si>
  <si>
    <t>Maximum typical age of the population within the dataset.</t>
  </si>
  <si>
    <t>A temporal period which the dataset is available</t>
  </si>
  <si>
    <t>geospatial information</t>
  </si>
  <si>
    <t>temporal coverage information</t>
  </si>
  <si>
    <t>http://publications.europa.eu/resource/authority/frequency/</t>
  </si>
  <si>
    <t>Number of records for unique individuals. Try to identify if there are unique individuals or unique elements, to do a group by with it later. Maybe one element has multiple samples</t>
  </si>
  <si>
    <t>Compulsory</t>
  </si>
  <si>
    <t>Posiblidad de moverlo a una segunda llamada pasándole el json de metadatos general</t>
  </si>
  <si>
    <t>If the dataset is a time-series, this should correspond to the spacing of items in the series. For other kinds of dataset, this property will usually indicate the smallest time difference between items in the dataset</t>
  </si>
  <si>
    <t>0..1</t>
  </si>
  <si>
    <t>Today pero podría venir ya de algún lado si es otra versión. Directamente no se puede saber</t>
  </si>
  <si>
    <t>The frequency at which the Dataset is updated.</t>
  </si>
  <si>
    <t>LLM + Controlled Vocabulary + Direct Function</t>
  </si>
  <si>
    <t>Podría impelmentarse con un modelo dedicado http://publications.europa.eu/resource/authority/language</t>
  </si>
  <si>
    <t>Controlled vocab entities</t>
  </si>
  <si>
    <t>http://publications.europa.eu/resource/authority/dataset-type</t>
  </si>
  <si>
    <t>https://hdeu-dcat.acceptance.data.health.europa.eu/resource/authority/healthcategories</t>
  </si>
  <si>
    <t xml:space="preserve">La diferencia mínima entre tiempos </t>
  </si>
  <si>
    <t>https://hdeu-dcat.acceptance.data.health.europa.eu/resource/authority/standard</t>
  </si>
  <si>
    <t>http://13.81.34.152:1101/resource/authority/health-theme</t>
  </si>
  <si>
    <t>https://hdeu-dcat.acceptance.data.health.europa.eu/resource/authority/coding-system</t>
  </si>
  <si>
    <t>Cardinality-Yoda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</si>
</sst>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  <xf numFmtId="0" fontId="6" fillId="0" borderId="0" xfId="0" applyFont="1"/>
    <xf numFmtId="0" fontId="2" fillId="3" borderId="0" xfId="0" applyFont="1" applyFill="1"/>
    <xf numFmtId="0" fontId="2" fillId="0" borderId="0" xfId="0" applyFont="1" applyAlignment="1">
      <alignment wrapText="1"/>
    </xf>
    <xf numFmtId="0" fontId="6" fillId="3" borderId="0" xfId="0" applyFont="1" applyFill="1"/>
    <xf numFmtId="0" fontId="6" fillId="0" borderId="0" xfId="0" applyFont="1" applyAlignment="1">
      <alignment horizontal="center" vertical="top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0" fillId="4" borderId="0" xfId="0" applyFill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wrapText="1"/>
    </xf>
    <xf numFmtId="0" fontId="5" fillId="0" borderId="0" xfId="1"/>
  </cellXfs>
  <cellStyles count="2">
    <cellStyle name="Hipervínculo" xfId="1" builtinId="8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D1AD04E-633A-4D4C-A060-988A121DDCD0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deu-dcat.acceptance.data.health.europa.eu/resource/authority/healthcategories" TargetMode="External"/><Relationship Id="rId3" Type="http://schemas.openxmlformats.org/officeDocument/2006/relationships/hyperlink" Target="https://hdeu-dcat.acceptance.data.health.europa.eu/resource/authority/standard" TargetMode="External"/><Relationship Id="rId7" Type="http://schemas.openxmlformats.org/officeDocument/2006/relationships/hyperlink" Target="http://publications.europa.eu/resource/authority/dataset-type" TargetMode="External"/><Relationship Id="rId12" Type="http://schemas.openxmlformats.org/officeDocument/2006/relationships/hyperlink" Target="https://hdeu-dcat.acceptance.data.health.europa.eu/resource/authority/coding-system" TargetMode="External"/><Relationship Id="rId2" Type="http://schemas.openxmlformats.org/officeDocument/2006/relationships/hyperlink" Target="https://hdeu-dcat.acceptance.data.health.europa.eu/resource/authority/coding-system" TargetMode="External"/><Relationship Id="rId1" Type="http://schemas.openxmlformats.org/officeDocument/2006/relationships/hyperlink" Target="http://publications.europa.eu/resource/authority/access-right/PUBLIC" TargetMode="External"/><Relationship Id="rId6" Type="http://schemas.openxmlformats.org/officeDocument/2006/relationships/hyperlink" Target="http://publications.europa.eu/resource/authority/data-theme/HEAL" TargetMode="External"/><Relationship Id="rId11" Type="http://schemas.openxmlformats.org/officeDocument/2006/relationships/hyperlink" Target="https://hdeu-dcat.acceptance.data.health.europa.eu/resource/authority/standard" TargetMode="External"/><Relationship Id="rId5" Type="http://schemas.openxmlformats.org/officeDocument/2006/relationships/hyperlink" Target="http://data.europa.eu/eli/reg/2016/679/oj" TargetMode="External"/><Relationship Id="rId10" Type="http://schemas.openxmlformats.org/officeDocument/2006/relationships/hyperlink" Target="http://13.81.34.152:1101/resource/authority/health-theme" TargetMode="External"/><Relationship Id="rId4" Type="http://schemas.openxmlformats.org/officeDocument/2006/relationships/hyperlink" Target="http://data.europa.eu/eli/reg/2016/679/oj" TargetMode="External"/><Relationship Id="rId9" Type="http://schemas.openxmlformats.org/officeDocument/2006/relationships/hyperlink" Target="https://w3id.org/dpv/dpv-p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BE34-E69D-474C-B192-4A446D272457}">
  <dimension ref="A1:O90"/>
  <sheetViews>
    <sheetView tabSelected="1" workbookViewId="0">
      <pane xSplit="3" ySplit="1" topLeftCell="K23" activePane="bottomRight" state="frozen"/>
      <selection pane="topRight" activeCell="C1" sqref="C1"/>
      <selection pane="bottomLeft" activeCell="A2" sqref="A2"/>
      <selection pane="bottomRight" activeCell="N32" sqref="N32"/>
    </sheetView>
  </sheetViews>
  <sheetFormatPr baseColWidth="10" defaultRowHeight="21" customHeight="1" x14ac:dyDescent="0.2"/>
  <cols>
    <col min="1" max="1" width="9.83203125" customWidth="1"/>
    <col min="2" max="3" width="30" bestFit="1" customWidth="1"/>
    <col min="4" max="4" width="34.5" bestFit="1" customWidth="1"/>
    <col min="5" max="5" width="35.33203125" style="15" customWidth="1"/>
    <col min="6" max="6" width="13" style="15" customWidth="1"/>
    <col min="7" max="7" width="14.83203125" style="15" customWidth="1"/>
    <col min="8" max="8" width="13.1640625" style="5" customWidth="1"/>
    <col min="9" max="9" width="19" style="5" customWidth="1"/>
    <col min="10" max="10" width="26.33203125" style="2" customWidth="1"/>
    <col min="11" max="12" width="21.6640625" customWidth="1"/>
    <col min="13" max="13" width="9.83203125" customWidth="1"/>
    <col min="14" max="15" width="70.83203125" bestFit="1" customWidth="1"/>
  </cols>
  <sheetData>
    <row r="1" spans="1:15" s="15" customFormat="1" ht="48" customHeight="1" x14ac:dyDescent="0.2">
      <c r="A1" s="12" t="s">
        <v>117</v>
      </c>
      <c r="B1" s="12" t="s">
        <v>120</v>
      </c>
      <c r="C1" s="12" t="s">
        <v>48</v>
      </c>
      <c r="D1" s="12" t="s">
        <v>52</v>
      </c>
      <c r="E1" s="12" t="s">
        <v>138</v>
      </c>
      <c r="F1" s="12" t="s">
        <v>158</v>
      </c>
      <c r="G1" s="12" t="s">
        <v>173</v>
      </c>
      <c r="H1" s="13" t="s">
        <v>123</v>
      </c>
      <c r="I1" s="13" t="s">
        <v>188</v>
      </c>
      <c r="J1" s="12" t="s">
        <v>47</v>
      </c>
      <c r="K1" s="14" t="s">
        <v>128</v>
      </c>
      <c r="L1" s="14" t="s">
        <v>181</v>
      </c>
      <c r="M1" s="14" t="s">
        <v>75</v>
      </c>
      <c r="N1" s="12" t="s">
        <v>127</v>
      </c>
      <c r="O1" s="12" t="s">
        <v>74</v>
      </c>
    </row>
    <row r="2" spans="1:15" ht="21" customHeight="1" x14ac:dyDescent="0.2">
      <c r="A2" s="1">
        <v>1</v>
      </c>
      <c r="B2" s="1" t="s">
        <v>0</v>
      </c>
      <c r="C2" s="1" t="s">
        <v>0</v>
      </c>
      <c r="D2" s="1"/>
      <c r="E2" s="9" t="s">
        <v>156</v>
      </c>
      <c r="F2" s="9" t="s">
        <v>159</v>
      </c>
      <c r="G2" s="9"/>
      <c r="H2" s="4" t="s">
        <v>124</v>
      </c>
      <c r="I2" s="4">
        <v>1</v>
      </c>
      <c r="J2" s="2" t="s">
        <v>164</v>
      </c>
      <c r="K2" t="s">
        <v>134</v>
      </c>
      <c r="M2" t="s">
        <v>126</v>
      </c>
      <c r="N2" t="s">
        <v>129</v>
      </c>
    </row>
    <row r="3" spans="1:15" ht="21" customHeight="1" x14ac:dyDescent="0.2">
      <c r="A3" s="1">
        <v>2</v>
      </c>
      <c r="B3" s="1" t="s">
        <v>1</v>
      </c>
      <c r="C3" s="1" t="s">
        <v>1</v>
      </c>
      <c r="D3" s="1"/>
      <c r="E3" s="9" t="s">
        <v>157</v>
      </c>
      <c r="F3" s="9" t="s">
        <v>159</v>
      </c>
      <c r="G3" s="9"/>
      <c r="H3" s="4"/>
      <c r="I3" s="4">
        <v>1</v>
      </c>
      <c r="J3" s="2" t="s">
        <v>164</v>
      </c>
      <c r="K3" t="s">
        <v>179</v>
      </c>
      <c r="M3" t="s">
        <v>126</v>
      </c>
      <c r="N3" t="s">
        <v>180</v>
      </c>
    </row>
    <row r="4" spans="1:15" ht="21" customHeight="1" x14ac:dyDescent="0.2">
      <c r="A4" s="1">
        <v>3</v>
      </c>
      <c r="B4" s="1" t="s">
        <v>99</v>
      </c>
      <c r="C4" s="1" t="s">
        <v>2</v>
      </c>
      <c r="D4" s="1"/>
      <c r="E4" s="9" t="s">
        <v>172</v>
      </c>
      <c r="F4" s="9" t="s">
        <v>160</v>
      </c>
      <c r="G4" s="9"/>
      <c r="H4" s="4"/>
      <c r="I4" s="4">
        <v>1</v>
      </c>
      <c r="J4" s="2" t="s">
        <v>164</v>
      </c>
      <c r="K4" t="s">
        <v>133</v>
      </c>
      <c r="M4" t="s">
        <v>126</v>
      </c>
      <c r="N4" t="s">
        <v>131</v>
      </c>
    </row>
    <row r="5" spans="1:15" ht="21" customHeight="1" x14ac:dyDescent="0.2">
      <c r="A5" s="1">
        <v>4</v>
      </c>
      <c r="B5" s="1" t="s">
        <v>98</v>
      </c>
      <c r="C5" s="1" t="s">
        <v>3</v>
      </c>
      <c r="D5" s="1"/>
      <c r="E5" s="9"/>
      <c r="F5" s="9" t="s">
        <v>160</v>
      </c>
      <c r="G5" s="9"/>
      <c r="H5" s="4"/>
      <c r="I5" s="4">
        <v>1</v>
      </c>
      <c r="J5" s="2" t="s">
        <v>164</v>
      </c>
      <c r="K5" t="s">
        <v>130</v>
      </c>
      <c r="M5" t="s">
        <v>126</v>
      </c>
      <c r="N5" t="s">
        <v>132</v>
      </c>
    </row>
    <row r="6" spans="1:15" ht="21" customHeight="1" x14ac:dyDescent="0.2">
      <c r="A6" s="6">
        <v>5.0999999999999996</v>
      </c>
      <c r="B6" s="17" t="s">
        <v>89</v>
      </c>
      <c r="C6" s="17" t="s">
        <v>4</v>
      </c>
      <c r="D6" s="1" t="s">
        <v>53</v>
      </c>
      <c r="E6" s="9"/>
      <c r="F6" s="9" t="s">
        <v>160</v>
      </c>
      <c r="G6" s="9"/>
      <c r="H6" s="4"/>
      <c r="I6" s="4">
        <v>1</v>
      </c>
      <c r="J6" s="2" t="s">
        <v>136</v>
      </c>
      <c r="K6" s="3" t="s">
        <v>51</v>
      </c>
      <c r="L6" s="3"/>
      <c r="M6" t="s">
        <v>136</v>
      </c>
    </row>
    <row r="7" spans="1:15" ht="21" customHeight="1" x14ac:dyDescent="0.2">
      <c r="A7" s="6">
        <v>5.2</v>
      </c>
      <c r="B7" s="17" t="s">
        <v>89</v>
      </c>
      <c r="C7" s="17" t="s">
        <v>4</v>
      </c>
      <c r="D7" s="1" t="s">
        <v>54</v>
      </c>
      <c r="E7" s="9"/>
      <c r="F7" s="9" t="s">
        <v>160</v>
      </c>
      <c r="G7" s="9"/>
      <c r="H7" s="4"/>
      <c r="I7" s="4">
        <v>1</v>
      </c>
      <c r="J7" s="2" t="s">
        <v>136</v>
      </c>
      <c r="K7" t="s">
        <v>51</v>
      </c>
      <c r="M7" t="s">
        <v>136</v>
      </c>
    </row>
    <row r="8" spans="1:15" ht="21" customHeight="1" x14ac:dyDescent="0.2">
      <c r="A8" s="6">
        <v>5.3</v>
      </c>
      <c r="B8" s="17" t="s">
        <v>89</v>
      </c>
      <c r="C8" s="17" t="s">
        <v>4</v>
      </c>
      <c r="D8" s="1" t="s">
        <v>55</v>
      </c>
      <c r="E8" s="9"/>
      <c r="F8" s="9" t="s">
        <v>160</v>
      </c>
      <c r="G8" s="9"/>
      <c r="H8" s="4"/>
      <c r="I8" s="4">
        <v>1</v>
      </c>
      <c r="J8" s="2" t="s">
        <v>136</v>
      </c>
      <c r="K8" t="s">
        <v>118</v>
      </c>
      <c r="M8" t="s">
        <v>136</v>
      </c>
    </row>
    <row r="9" spans="1:15" ht="21" customHeight="1" x14ac:dyDescent="0.2">
      <c r="A9" s="6">
        <v>5.5</v>
      </c>
      <c r="B9" s="17" t="s">
        <v>89</v>
      </c>
      <c r="C9" s="17" t="s">
        <v>4</v>
      </c>
      <c r="D9" s="1" t="s">
        <v>56</v>
      </c>
      <c r="E9" s="9"/>
      <c r="F9" s="9" t="s">
        <v>160</v>
      </c>
      <c r="G9" s="9"/>
      <c r="H9" s="4"/>
      <c r="I9" s="4">
        <v>1</v>
      </c>
      <c r="J9" s="2" t="s">
        <v>136</v>
      </c>
      <c r="K9" t="s">
        <v>143</v>
      </c>
      <c r="M9" t="s">
        <v>136</v>
      </c>
      <c r="N9" t="s">
        <v>146</v>
      </c>
    </row>
    <row r="10" spans="1:15" ht="21" customHeight="1" x14ac:dyDescent="0.2">
      <c r="A10" s="6">
        <f>5.5</f>
        <v>5.5</v>
      </c>
      <c r="B10" s="17" t="s">
        <v>89</v>
      </c>
      <c r="C10" s="17" t="s">
        <v>4</v>
      </c>
      <c r="D10" s="1" t="s">
        <v>23</v>
      </c>
      <c r="E10" s="9"/>
      <c r="F10" s="9" t="s">
        <v>160</v>
      </c>
      <c r="G10" s="9"/>
      <c r="H10" s="4"/>
      <c r="I10" s="4">
        <v>1</v>
      </c>
      <c r="J10" s="2" t="s">
        <v>136</v>
      </c>
      <c r="K10" t="s">
        <v>118</v>
      </c>
      <c r="M10" t="s">
        <v>136</v>
      </c>
    </row>
    <row r="11" spans="1:15" ht="21" customHeight="1" x14ac:dyDescent="0.2">
      <c r="A11" s="6">
        <v>5.6</v>
      </c>
      <c r="B11" s="17" t="s">
        <v>89</v>
      </c>
      <c r="C11" s="17" t="s">
        <v>4</v>
      </c>
      <c r="D11" s="1" t="s">
        <v>57</v>
      </c>
      <c r="E11" s="9"/>
      <c r="F11" s="9" t="s">
        <v>160</v>
      </c>
      <c r="G11" s="9"/>
      <c r="H11" s="4"/>
      <c r="I11" s="4">
        <v>1</v>
      </c>
      <c r="J11" s="2" t="s">
        <v>136</v>
      </c>
      <c r="K11" t="s">
        <v>118</v>
      </c>
      <c r="M11" t="s">
        <v>136</v>
      </c>
    </row>
    <row r="12" spans="1:15" ht="21" customHeight="1" x14ac:dyDescent="0.2">
      <c r="A12" s="6">
        <v>5.7</v>
      </c>
      <c r="B12" s="17" t="s">
        <v>89</v>
      </c>
      <c r="C12" s="17" t="s">
        <v>4</v>
      </c>
      <c r="D12" s="1" t="s">
        <v>58</v>
      </c>
      <c r="E12" s="9"/>
      <c r="F12" s="9" t="s">
        <v>160</v>
      </c>
      <c r="G12" s="9"/>
      <c r="H12" s="4"/>
      <c r="I12" s="4">
        <v>1</v>
      </c>
      <c r="J12" s="2" t="s">
        <v>136</v>
      </c>
      <c r="K12" t="s">
        <v>118</v>
      </c>
      <c r="M12" t="s">
        <v>136</v>
      </c>
    </row>
    <row r="13" spans="1:15" ht="21" customHeight="1" x14ac:dyDescent="0.2">
      <c r="A13" s="6">
        <v>5.8</v>
      </c>
      <c r="B13" s="17" t="s">
        <v>89</v>
      </c>
      <c r="C13" s="17" t="s">
        <v>4</v>
      </c>
      <c r="D13" s="1" t="s">
        <v>59</v>
      </c>
      <c r="E13" s="9"/>
      <c r="F13" s="9" t="s">
        <v>160</v>
      </c>
      <c r="G13" s="9"/>
      <c r="H13" s="4"/>
      <c r="I13" s="4">
        <v>1</v>
      </c>
      <c r="J13" s="2" t="s">
        <v>136</v>
      </c>
      <c r="K13" s="3" t="s">
        <v>51</v>
      </c>
      <c r="L13" s="3"/>
      <c r="M13" t="s">
        <v>136</v>
      </c>
    </row>
    <row r="14" spans="1:15" ht="21" customHeight="1" x14ac:dyDescent="0.2">
      <c r="A14" s="6">
        <v>5.9</v>
      </c>
      <c r="B14" s="17" t="s">
        <v>89</v>
      </c>
      <c r="C14" s="17" t="s">
        <v>4</v>
      </c>
      <c r="D14" s="1" t="s">
        <v>60</v>
      </c>
      <c r="E14" s="9"/>
      <c r="F14" s="9" t="s">
        <v>160</v>
      </c>
      <c r="G14" s="9"/>
      <c r="H14" s="4"/>
      <c r="I14" s="4">
        <v>1</v>
      </c>
      <c r="J14" s="2" t="s">
        <v>136</v>
      </c>
      <c r="K14" s="3" t="s">
        <v>51</v>
      </c>
      <c r="L14" s="3"/>
      <c r="M14" t="s">
        <v>136</v>
      </c>
    </row>
    <row r="15" spans="1:15" ht="21" customHeight="1" x14ac:dyDescent="0.2">
      <c r="A15" s="7">
        <v>6</v>
      </c>
      <c r="B15" s="7" t="s">
        <v>76</v>
      </c>
      <c r="C15" s="1" t="s">
        <v>5</v>
      </c>
      <c r="D15" s="1"/>
      <c r="E15" s="18"/>
      <c r="F15" s="9" t="s">
        <v>160</v>
      </c>
      <c r="G15" s="9"/>
      <c r="I15" s="4">
        <v>1</v>
      </c>
      <c r="J15" s="2" t="s">
        <v>136</v>
      </c>
      <c r="K15" t="s">
        <v>139</v>
      </c>
      <c r="M15" t="s">
        <v>137</v>
      </c>
      <c r="N15" s="19" t="s">
        <v>140</v>
      </c>
    </row>
    <row r="16" spans="1:15" ht="21" customHeight="1" x14ac:dyDescent="0.2">
      <c r="A16" s="7">
        <v>7</v>
      </c>
      <c r="B16" s="7" t="s">
        <v>6</v>
      </c>
      <c r="C16" s="1" t="s">
        <v>6</v>
      </c>
      <c r="D16" s="1"/>
      <c r="E16" s="9" t="s">
        <v>155</v>
      </c>
      <c r="F16" s="9" t="s">
        <v>159</v>
      </c>
      <c r="G16" s="9"/>
      <c r="H16" s="4"/>
      <c r="I16" s="4">
        <v>1</v>
      </c>
      <c r="J16" s="2" t="s">
        <v>164</v>
      </c>
      <c r="K16" s="16" t="s">
        <v>134</v>
      </c>
      <c r="L16" s="16"/>
      <c r="M16" t="s">
        <v>126</v>
      </c>
      <c r="N16" t="s">
        <v>129</v>
      </c>
    </row>
    <row r="17" spans="1:15" ht="21" customHeight="1" x14ac:dyDescent="0.2">
      <c r="A17" s="7">
        <v>8</v>
      </c>
      <c r="B17" s="7" t="s">
        <v>7</v>
      </c>
      <c r="C17" s="1" t="s">
        <v>7</v>
      </c>
      <c r="D17" s="1"/>
      <c r="E17" s="9"/>
      <c r="F17" s="9" t="s">
        <v>160</v>
      </c>
      <c r="G17" s="9"/>
      <c r="H17" s="4"/>
      <c r="I17" s="4">
        <v>1</v>
      </c>
      <c r="J17" s="2" t="s">
        <v>136</v>
      </c>
      <c r="K17" t="s">
        <v>118</v>
      </c>
      <c r="M17" t="s">
        <v>136</v>
      </c>
      <c r="N17" t="s">
        <v>135</v>
      </c>
    </row>
    <row r="18" spans="1:15" ht="21" customHeight="1" x14ac:dyDescent="0.2">
      <c r="A18" s="7">
        <v>9</v>
      </c>
      <c r="B18" s="7" t="s">
        <v>61</v>
      </c>
      <c r="C18" s="1" t="s">
        <v>8</v>
      </c>
      <c r="D18" s="1"/>
      <c r="E18" s="9" t="s">
        <v>161</v>
      </c>
      <c r="F18" s="9" t="s">
        <v>159</v>
      </c>
      <c r="G18" s="9"/>
      <c r="H18" s="4"/>
      <c r="I18" s="4">
        <v>1</v>
      </c>
      <c r="J18" s="2" t="s">
        <v>164</v>
      </c>
      <c r="K18" t="s">
        <v>134</v>
      </c>
      <c r="M18" t="s">
        <v>126</v>
      </c>
      <c r="N18" t="s">
        <v>144</v>
      </c>
    </row>
    <row r="19" spans="1:15" ht="21" customHeight="1" x14ac:dyDescent="0.2">
      <c r="A19" s="7">
        <v>10</v>
      </c>
      <c r="B19" s="7" t="s">
        <v>88</v>
      </c>
      <c r="C19" s="1" t="s">
        <v>9</v>
      </c>
      <c r="D19" s="1"/>
      <c r="E19" s="9"/>
      <c r="F19" s="9" t="s">
        <v>162</v>
      </c>
      <c r="G19" s="9"/>
      <c r="H19" s="4"/>
      <c r="I19" s="4">
        <v>1</v>
      </c>
      <c r="J19" s="2" t="s">
        <v>164</v>
      </c>
      <c r="K19" t="s">
        <v>143</v>
      </c>
      <c r="L19">
        <v>18</v>
      </c>
      <c r="M19" t="s">
        <v>126</v>
      </c>
      <c r="N19" s="19" t="s">
        <v>183</v>
      </c>
    </row>
    <row r="20" spans="1:15" ht="21" customHeight="1" x14ac:dyDescent="0.2">
      <c r="A20" s="7">
        <v>11</v>
      </c>
      <c r="B20" s="7" t="s">
        <v>10</v>
      </c>
      <c r="C20" s="1" t="s">
        <v>10</v>
      </c>
      <c r="D20" s="1"/>
      <c r="E20" s="9"/>
      <c r="F20" s="9" t="s">
        <v>160</v>
      </c>
      <c r="G20" s="9"/>
      <c r="H20" s="4"/>
      <c r="I20" s="4">
        <v>1</v>
      </c>
      <c r="J20" s="2" t="s">
        <v>49</v>
      </c>
      <c r="K20" s="3" t="s">
        <v>139</v>
      </c>
      <c r="L20" s="3"/>
      <c r="M20" t="s">
        <v>126</v>
      </c>
      <c r="N20" s="19" t="s">
        <v>153</v>
      </c>
      <c r="O20" t="s">
        <v>154</v>
      </c>
    </row>
    <row r="21" spans="1:15" ht="21" customHeight="1" x14ac:dyDescent="0.2">
      <c r="A21" s="7">
        <v>12</v>
      </c>
      <c r="B21" s="7" t="s">
        <v>56</v>
      </c>
      <c r="C21" s="1" t="s">
        <v>11</v>
      </c>
      <c r="D21" s="1"/>
      <c r="E21" s="9"/>
      <c r="F21" s="9" t="s">
        <v>162</v>
      </c>
      <c r="G21" s="9"/>
      <c r="H21" s="4"/>
      <c r="I21" s="4">
        <v>1</v>
      </c>
      <c r="J21" s="2" t="s">
        <v>164</v>
      </c>
      <c r="K21" s="3" t="s">
        <v>143</v>
      </c>
      <c r="L21">
        <v>26</v>
      </c>
      <c r="M21" t="s">
        <v>126</v>
      </c>
      <c r="N21" s="19" t="s">
        <v>182</v>
      </c>
    </row>
    <row r="22" spans="1:15" ht="21" customHeight="1" x14ac:dyDescent="0.2">
      <c r="A22" s="7">
        <v>13</v>
      </c>
      <c r="B22" s="7" t="s">
        <v>12</v>
      </c>
      <c r="C22" s="1" t="s">
        <v>12</v>
      </c>
      <c r="D22" s="1"/>
      <c r="E22" s="9"/>
      <c r="F22" s="9" t="s">
        <v>160</v>
      </c>
      <c r="G22" s="9"/>
      <c r="H22" s="4"/>
      <c r="I22" s="4">
        <v>1</v>
      </c>
      <c r="J22" s="2" t="s">
        <v>49</v>
      </c>
      <c r="K22" t="s">
        <v>118</v>
      </c>
      <c r="M22" t="s">
        <v>136</v>
      </c>
    </row>
    <row r="23" spans="1:15" ht="21" customHeight="1" x14ac:dyDescent="0.2">
      <c r="A23" s="7">
        <v>14</v>
      </c>
      <c r="B23" s="7" t="s">
        <v>13</v>
      </c>
      <c r="C23" s="1" t="s">
        <v>13</v>
      </c>
      <c r="D23" s="1"/>
      <c r="E23" s="9" t="s">
        <v>163</v>
      </c>
      <c r="F23" s="9" t="s">
        <v>159</v>
      </c>
      <c r="G23" s="9"/>
      <c r="H23" s="4"/>
      <c r="I23" s="4">
        <v>1</v>
      </c>
      <c r="J23" s="2" t="s">
        <v>164</v>
      </c>
      <c r="K23" t="s">
        <v>134</v>
      </c>
      <c r="M23" t="s">
        <v>126</v>
      </c>
    </row>
    <row r="24" spans="1:15" ht="21" customHeight="1" x14ac:dyDescent="0.2">
      <c r="A24" s="7">
        <v>15</v>
      </c>
      <c r="B24" s="7" t="s">
        <v>102</v>
      </c>
      <c r="C24" s="1" t="s">
        <v>14</v>
      </c>
      <c r="D24" s="1"/>
      <c r="E24" s="9" t="s">
        <v>165</v>
      </c>
      <c r="F24" s="9" t="s">
        <v>159</v>
      </c>
      <c r="G24" s="9"/>
      <c r="H24" s="4"/>
      <c r="I24" s="4">
        <v>1</v>
      </c>
      <c r="J24" s="2" t="s">
        <v>164</v>
      </c>
      <c r="K24" t="s">
        <v>151</v>
      </c>
      <c r="M24" t="s">
        <v>126</v>
      </c>
      <c r="N24" t="s">
        <v>174</v>
      </c>
    </row>
    <row r="25" spans="1:15" ht="21" customHeight="1" x14ac:dyDescent="0.2">
      <c r="A25" s="7">
        <v>16</v>
      </c>
      <c r="B25" s="7" t="s">
        <v>96</v>
      </c>
      <c r="C25" s="1" t="s">
        <v>15</v>
      </c>
      <c r="D25" s="1"/>
      <c r="E25" s="9" t="s">
        <v>166</v>
      </c>
      <c r="F25" s="9" t="s">
        <v>160</v>
      </c>
      <c r="G25" s="9"/>
      <c r="H25" s="4"/>
      <c r="I25" s="4">
        <v>1</v>
      </c>
      <c r="J25" s="2" t="s">
        <v>164</v>
      </c>
      <c r="K25" t="s">
        <v>130</v>
      </c>
      <c r="M25" t="s">
        <v>126</v>
      </c>
    </row>
    <row r="26" spans="1:15" ht="21" customHeight="1" x14ac:dyDescent="0.2">
      <c r="A26" s="7">
        <v>17</v>
      </c>
      <c r="B26" s="7" t="s">
        <v>95</v>
      </c>
      <c r="C26" s="1" t="s">
        <v>16</v>
      </c>
      <c r="D26" s="1"/>
      <c r="E26" s="9" t="s">
        <v>167</v>
      </c>
      <c r="F26" s="9" t="s">
        <v>160</v>
      </c>
      <c r="G26" s="9"/>
      <c r="H26" s="4"/>
      <c r="I26" s="4">
        <v>1</v>
      </c>
      <c r="J26" s="2" t="s">
        <v>164</v>
      </c>
      <c r="K26" t="s">
        <v>130</v>
      </c>
      <c r="M26" t="s">
        <v>126</v>
      </c>
    </row>
    <row r="27" spans="1:15" ht="21" customHeight="1" x14ac:dyDescent="0.2">
      <c r="A27" s="7">
        <v>18</v>
      </c>
      <c r="B27" s="7" t="s">
        <v>101</v>
      </c>
      <c r="C27" s="1" t="s">
        <v>17</v>
      </c>
      <c r="D27" s="1"/>
      <c r="E27" s="9"/>
      <c r="F27" s="9" t="s">
        <v>162</v>
      </c>
      <c r="G27" s="9"/>
      <c r="H27" s="4"/>
      <c r="I27" s="4">
        <v>1</v>
      </c>
      <c r="J27" s="2" t="s">
        <v>164</v>
      </c>
      <c r="K27" t="s">
        <v>143</v>
      </c>
      <c r="L27">
        <v>231</v>
      </c>
      <c r="M27" t="s">
        <v>126</v>
      </c>
      <c r="N27" s="19" t="s">
        <v>150</v>
      </c>
    </row>
    <row r="28" spans="1:15" ht="21" customHeight="1" x14ac:dyDescent="0.2">
      <c r="A28" s="11">
        <v>19.100000000000001</v>
      </c>
      <c r="B28" s="11" t="s">
        <v>94</v>
      </c>
      <c r="C28" s="6" t="s">
        <v>18</v>
      </c>
      <c r="D28" s="1" t="s">
        <v>61</v>
      </c>
      <c r="E28" s="9"/>
      <c r="F28" s="9" t="s">
        <v>160</v>
      </c>
      <c r="G28" s="9"/>
      <c r="H28" s="4"/>
      <c r="I28" s="4">
        <v>1</v>
      </c>
      <c r="J28" s="2" t="s">
        <v>49</v>
      </c>
      <c r="K28" t="s">
        <v>139</v>
      </c>
      <c r="M28" t="s">
        <v>137</v>
      </c>
      <c r="N28" s="19" t="s">
        <v>148</v>
      </c>
    </row>
    <row r="29" spans="1:15" ht="21" customHeight="1" x14ac:dyDescent="0.2">
      <c r="A29" s="11">
        <v>19.2</v>
      </c>
      <c r="B29" s="11" t="s">
        <v>94</v>
      </c>
      <c r="C29" s="6" t="s">
        <v>18</v>
      </c>
      <c r="D29" s="1" t="s">
        <v>62</v>
      </c>
      <c r="E29" s="9"/>
      <c r="F29" s="9" t="s">
        <v>160</v>
      </c>
      <c r="G29" s="9"/>
      <c r="H29" s="4"/>
      <c r="I29" s="4">
        <v>1</v>
      </c>
      <c r="J29" s="2" t="s">
        <v>49</v>
      </c>
      <c r="K29" t="s">
        <v>139</v>
      </c>
      <c r="M29" t="s">
        <v>137</v>
      </c>
      <c r="N29" s="19" t="s">
        <v>148</v>
      </c>
    </row>
    <row r="30" spans="1:15" ht="21" customHeight="1" x14ac:dyDescent="0.2">
      <c r="A30" s="4">
        <v>20.100000000000001</v>
      </c>
      <c r="B30" s="4" t="s">
        <v>108</v>
      </c>
      <c r="C30" s="6" t="s">
        <v>19</v>
      </c>
      <c r="D30" s="1" t="s">
        <v>63</v>
      </c>
      <c r="E30" s="9" t="s">
        <v>168</v>
      </c>
      <c r="F30" s="9" t="s">
        <v>162</v>
      </c>
      <c r="G30" s="9"/>
      <c r="H30" s="4"/>
      <c r="I30" s="4">
        <v>1</v>
      </c>
      <c r="J30" s="2" t="s">
        <v>136</v>
      </c>
      <c r="K30" s="3" t="s">
        <v>51</v>
      </c>
      <c r="L30" s="3"/>
      <c r="M30" t="s">
        <v>136</v>
      </c>
    </row>
    <row r="31" spans="1:15" ht="21" customHeight="1" x14ac:dyDescent="0.2">
      <c r="A31" s="4">
        <v>20.2</v>
      </c>
      <c r="B31" s="4" t="s">
        <v>108</v>
      </c>
      <c r="C31" s="6" t="s">
        <v>19</v>
      </c>
      <c r="D31" s="1" t="s">
        <v>64</v>
      </c>
      <c r="E31" s="9" t="s">
        <v>168</v>
      </c>
      <c r="F31" s="9" t="s">
        <v>162</v>
      </c>
      <c r="G31" s="9"/>
      <c r="H31" s="4"/>
      <c r="I31" s="4">
        <v>1</v>
      </c>
      <c r="J31" s="2" t="s">
        <v>136</v>
      </c>
      <c r="K31" s="3" t="s">
        <v>51</v>
      </c>
      <c r="L31" s="3"/>
      <c r="M31" t="s">
        <v>136</v>
      </c>
    </row>
    <row r="32" spans="1:15" ht="21" customHeight="1" x14ac:dyDescent="0.2">
      <c r="A32" s="7">
        <v>21</v>
      </c>
      <c r="B32" s="7" t="s">
        <v>90</v>
      </c>
      <c r="C32" s="1" t="s">
        <v>20</v>
      </c>
      <c r="D32" s="1"/>
      <c r="E32" s="9"/>
      <c r="F32" s="9" t="s">
        <v>162</v>
      </c>
      <c r="G32" s="9"/>
      <c r="H32" s="4"/>
      <c r="I32" s="4">
        <v>1</v>
      </c>
      <c r="J32" s="2" t="s">
        <v>164</v>
      </c>
      <c r="K32" t="s">
        <v>143</v>
      </c>
      <c r="L32">
        <v>21</v>
      </c>
      <c r="M32" t="s">
        <v>126</v>
      </c>
      <c r="N32" s="19" t="s">
        <v>186</v>
      </c>
    </row>
    <row r="33" spans="1:15" ht="21" customHeight="1" x14ac:dyDescent="0.2">
      <c r="A33" s="7">
        <v>22</v>
      </c>
      <c r="B33" s="7" t="s">
        <v>80</v>
      </c>
      <c r="C33" s="1" t="s">
        <v>21</v>
      </c>
      <c r="D33" s="1"/>
      <c r="E33" s="9"/>
      <c r="F33" s="9" t="s">
        <v>162</v>
      </c>
      <c r="G33" s="9"/>
      <c r="H33" s="4"/>
      <c r="I33" s="4">
        <v>1</v>
      </c>
      <c r="J33" s="2" t="s">
        <v>49</v>
      </c>
      <c r="K33" t="s">
        <v>134</v>
      </c>
      <c r="O33" t="s">
        <v>142</v>
      </c>
    </row>
    <row r="34" spans="1:15" ht="21" customHeight="1" x14ac:dyDescent="0.2">
      <c r="A34" s="6">
        <v>23.1</v>
      </c>
      <c r="B34" s="6" t="s">
        <v>81</v>
      </c>
      <c r="C34" s="6" t="s">
        <v>22</v>
      </c>
      <c r="D34" s="1" t="s">
        <v>65</v>
      </c>
      <c r="E34" s="9"/>
      <c r="F34" s="9" t="s">
        <v>162</v>
      </c>
      <c r="G34" s="9"/>
      <c r="H34" s="4"/>
      <c r="I34" s="4">
        <v>1</v>
      </c>
      <c r="J34" s="2" t="s">
        <v>164</v>
      </c>
      <c r="K34" t="s">
        <v>143</v>
      </c>
      <c r="L34">
        <v>22</v>
      </c>
      <c r="M34" t="s">
        <v>126</v>
      </c>
      <c r="N34" s="19" t="s">
        <v>187</v>
      </c>
    </row>
    <row r="35" spans="1:15" ht="21" customHeight="1" x14ac:dyDescent="0.2">
      <c r="A35" s="6">
        <v>23.2</v>
      </c>
      <c r="B35" s="6" t="s">
        <v>81</v>
      </c>
      <c r="C35" s="6" t="s">
        <v>22</v>
      </c>
      <c r="D35" s="1" t="s">
        <v>66</v>
      </c>
      <c r="E35" s="9"/>
      <c r="F35" s="9" t="s">
        <v>162</v>
      </c>
      <c r="G35" s="9"/>
      <c r="H35" s="4"/>
      <c r="I35" s="4">
        <v>1</v>
      </c>
      <c r="J35" s="2" t="s">
        <v>164</v>
      </c>
      <c r="K35" t="s">
        <v>143</v>
      </c>
      <c r="L35">
        <v>22</v>
      </c>
      <c r="M35" t="s">
        <v>126</v>
      </c>
      <c r="N35" s="19" t="s">
        <v>187</v>
      </c>
    </row>
    <row r="36" spans="1:15" ht="21" customHeight="1" x14ac:dyDescent="0.2">
      <c r="A36" s="6">
        <v>24.1</v>
      </c>
      <c r="B36" s="6" t="s">
        <v>83</v>
      </c>
      <c r="C36" s="6" t="s">
        <v>23</v>
      </c>
      <c r="D36" s="1" t="s">
        <v>57</v>
      </c>
      <c r="E36" s="9"/>
      <c r="F36" s="9" t="s">
        <v>160</v>
      </c>
      <c r="G36" s="9"/>
      <c r="H36" s="4"/>
      <c r="I36" s="4">
        <v>1</v>
      </c>
      <c r="J36" s="2" t="s">
        <v>136</v>
      </c>
      <c r="K36" t="s">
        <v>118</v>
      </c>
      <c r="M36" t="s">
        <v>136</v>
      </c>
    </row>
    <row r="37" spans="1:15" ht="21" customHeight="1" x14ac:dyDescent="0.2">
      <c r="A37" s="6">
        <v>24.2</v>
      </c>
      <c r="B37" s="6" t="s">
        <v>83</v>
      </c>
      <c r="C37" s="6" t="s">
        <v>23</v>
      </c>
      <c r="D37" s="1" t="s">
        <v>41</v>
      </c>
      <c r="E37" s="9"/>
      <c r="F37" s="9" t="s">
        <v>160</v>
      </c>
      <c r="G37" s="9"/>
      <c r="H37" s="4"/>
      <c r="I37" s="4">
        <v>1</v>
      </c>
      <c r="J37" s="2" t="s">
        <v>136</v>
      </c>
      <c r="K37" t="s">
        <v>118</v>
      </c>
      <c r="M37" t="s">
        <v>136</v>
      </c>
    </row>
    <row r="38" spans="1:15" ht="21" customHeight="1" x14ac:dyDescent="0.2">
      <c r="A38" s="1">
        <v>25</v>
      </c>
      <c r="B38" s="1" t="s">
        <v>85</v>
      </c>
      <c r="C38" s="1" t="s">
        <v>24</v>
      </c>
      <c r="D38" s="1"/>
      <c r="E38" s="9"/>
      <c r="F38" s="9" t="s">
        <v>160</v>
      </c>
      <c r="G38" s="9"/>
      <c r="H38" s="4"/>
      <c r="I38" s="4">
        <v>1</v>
      </c>
      <c r="J38" s="2" t="s">
        <v>136</v>
      </c>
      <c r="K38" t="s">
        <v>118</v>
      </c>
      <c r="M38" t="s">
        <v>136</v>
      </c>
    </row>
    <row r="39" spans="1:15" ht="21" customHeight="1" x14ac:dyDescent="0.2">
      <c r="A39" s="6">
        <v>26.1</v>
      </c>
      <c r="B39" s="6" t="s">
        <v>25</v>
      </c>
      <c r="C39" s="6" t="s">
        <v>25</v>
      </c>
      <c r="D39" s="1" t="s">
        <v>55</v>
      </c>
      <c r="E39" s="9"/>
      <c r="F39" s="9" t="s">
        <v>160</v>
      </c>
      <c r="G39" s="9"/>
      <c r="H39" s="4"/>
      <c r="I39" s="4">
        <v>1</v>
      </c>
      <c r="J39" s="2" t="s">
        <v>49</v>
      </c>
      <c r="K39" t="s">
        <v>118</v>
      </c>
      <c r="M39" t="s">
        <v>136</v>
      </c>
    </row>
    <row r="40" spans="1:15" ht="21" customHeight="1" x14ac:dyDescent="0.2">
      <c r="A40" s="6">
        <v>26.2</v>
      </c>
      <c r="B40" s="6" t="s">
        <v>25</v>
      </c>
      <c r="C40" s="6" t="s">
        <v>25</v>
      </c>
      <c r="D40" s="1" t="s">
        <v>56</v>
      </c>
      <c r="E40" s="9"/>
      <c r="F40" s="9" t="s">
        <v>160</v>
      </c>
      <c r="G40" s="9"/>
      <c r="H40" s="4"/>
      <c r="I40" s="4">
        <v>1</v>
      </c>
      <c r="J40" s="2" t="s">
        <v>49</v>
      </c>
      <c r="K40" t="s">
        <v>118</v>
      </c>
      <c r="M40" t="s">
        <v>136</v>
      </c>
    </row>
    <row r="41" spans="1:15" ht="21" customHeight="1" x14ac:dyDescent="0.2">
      <c r="A41" s="6">
        <v>26.3</v>
      </c>
      <c r="B41" s="6" t="s">
        <v>25</v>
      </c>
      <c r="C41" s="6" t="s">
        <v>25</v>
      </c>
      <c r="D41" s="1" t="s">
        <v>67</v>
      </c>
      <c r="E41" s="9"/>
      <c r="F41" s="9" t="s">
        <v>160</v>
      </c>
      <c r="G41" s="9"/>
      <c r="H41" s="4"/>
      <c r="I41" s="4">
        <v>1</v>
      </c>
      <c r="J41" s="2" t="s">
        <v>49</v>
      </c>
      <c r="K41" t="s">
        <v>118</v>
      </c>
      <c r="M41" t="s">
        <v>136</v>
      </c>
    </row>
    <row r="42" spans="1:15" ht="21" customHeight="1" x14ac:dyDescent="0.2">
      <c r="A42" s="6">
        <v>26.4</v>
      </c>
      <c r="B42" s="6" t="s">
        <v>25</v>
      </c>
      <c r="C42" s="6" t="s">
        <v>25</v>
      </c>
      <c r="D42" s="1" t="s">
        <v>57</v>
      </c>
      <c r="E42" s="9"/>
      <c r="F42" s="9" t="s">
        <v>160</v>
      </c>
      <c r="G42" s="9"/>
      <c r="H42" s="4"/>
      <c r="I42" s="4">
        <v>1</v>
      </c>
      <c r="J42" s="2" t="s">
        <v>49</v>
      </c>
      <c r="K42" t="s">
        <v>118</v>
      </c>
      <c r="M42" t="s">
        <v>136</v>
      </c>
    </row>
    <row r="43" spans="1:15" ht="21" customHeight="1" x14ac:dyDescent="0.2">
      <c r="A43" s="6">
        <v>26.5</v>
      </c>
      <c r="B43" s="6" t="s">
        <v>25</v>
      </c>
      <c r="C43" s="6" t="s">
        <v>25</v>
      </c>
      <c r="D43" s="1" t="s">
        <v>58</v>
      </c>
      <c r="E43" s="9"/>
      <c r="F43" s="9" t="s">
        <v>160</v>
      </c>
      <c r="G43" s="9"/>
      <c r="H43" s="4"/>
      <c r="I43" s="4">
        <v>1</v>
      </c>
      <c r="J43" s="2" t="s">
        <v>49</v>
      </c>
      <c r="K43" t="s">
        <v>118</v>
      </c>
      <c r="M43" t="s">
        <v>136</v>
      </c>
    </row>
    <row r="44" spans="1:15" ht="21" customHeight="1" x14ac:dyDescent="0.2">
      <c r="A44" s="6">
        <v>26.6</v>
      </c>
      <c r="B44" s="6" t="s">
        <v>25</v>
      </c>
      <c r="C44" s="6" t="s">
        <v>25</v>
      </c>
      <c r="D44" s="1" t="s">
        <v>59</v>
      </c>
      <c r="E44" s="9"/>
      <c r="F44" s="9" t="s">
        <v>160</v>
      </c>
      <c r="G44" s="9"/>
      <c r="H44" s="4"/>
      <c r="I44" s="4">
        <v>1</v>
      </c>
      <c r="J44" s="2" t="s">
        <v>136</v>
      </c>
      <c r="K44" s="3" t="s">
        <v>51</v>
      </c>
      <c r="L44" s="3"/>
      <c r="M44" t="s">
        <v>136</v>
      </c>
    </row>
    <row r="45" spans="1:15" ht="21" customHeight="1" x14ac:dyDescent="0.2">
      <c r="A45" s="6">
        <v>26.7</v>
      </c>
      <c r="B45" s="6" t="s">
        <v>25</v>
      </c>
      <c r="C45" s="6" t="s">
        <v>25</v>
      </c>
      <c r="D45" s="1" t="s">
        <v>60</v>
      </c>
      <c r="E45" s="9"/>
      <c r="F45" s="9" t="s">
        <v>160</v>
      </c>
      <c r="G45" s="9"/>
      <c r="H45" s="4"/>
      <c r="I45" s="4">
        <v>1</v>
      </c>
      <c r="J45" s="2" t="s">
        <v>136</v>
      </c>
      <c r="K45" s="3" t="s">
        <v>51</v>
      </c>
      <c r="L45" s="3"/>
      <c r="M45" t="s">
        <v>136</v>
      </c>
    </row>
    <row r="46" spans="1:15" ht="21" customHeight="1" x14ac:dyDescent="0.2">
      <c r="A46" s="6">
        <v>26.8</v>
      </c>
      <c r="B46" s="6" t="s">
        <v>25</v>
      </c>
      <c r="C46" s="6" t="s">
        <v>25</v>
      </c>
      <c r="D46" s="1" t="s">
        <v>53</v>
      </c>
      <c r="E46" s="9"/>
      <c r="F46" s="9" t="s">
        <v>160</v>
      </c>
      <c r="G46" s="9"/>
      <c r="H46" s="4"/>
      <c r="I46" s="4">
        <v>1</v>
      </c>
      <c r="J46" s="2" t="s">
        <v>136</v>
      </c>
      <c r="K46" s="3" t="s">
        <v>51</v>
      </c>
      <c r="L46" s="3"/>
      <c r="M46" t="s">
        <v>136</v>
      </c>
    </row>
    <row r="47" spans="1:15" ht="21" customHeight="1" x14ac:dyDescent="0.2">
      <c r="A47" s="6">
        <v>26.9</v>
      </c>
      <c r="B47" s="6" t="s">
        <v>25</v>
      </c>
      <c r="C47" s="6" t="s">
        <v>25</v>
      </c>
      <c r="D47" s="1" t="s">
        <v>54</v>
      </c>
      <c r="E47" s="9"/>
      <c r="F47" s="9" t="s">
        <v>160</v>
      </c>
      <c r="G47" s="9"/>
      <c r="H47" s="4"/>
      <c r="I47" s="4">
        <v>1</v>
      </c>
      <c r="J47" s="2" t="s">
        <v>136</v>
      </c>
      <c r="K47" s="3" t="s">
        <v>51</v>
      </c>
      <c r="L47" s="3"/>
      <c r="M47" t="s">
        <v>136</v>
      </c>
    </row>
    <row r="48" spans="1:15" ht="21" customHeight="1" x14ac:dyDescent="0.2">
      <c r="A48" s="7">
        <v>27</v>
      </c>
      <c r="B48" s="8" t="s">
        <v>118</v>
      </c>
      <c r="C48" s="1" t="s">
        <v>26</v>
      </c>
      <c r="D48" s="1"/>
      <c r="E48" s="9"/>
      <c r="F48" s="9" t="s">
        <v>160</v>
      </c>
      <c r="G48" s="9"/>
      <c r="H48" s="4"/>
      <c r="I48" s="4">
        <v>1</v>
      </c>
      <c r="J48" s="2" t="s">
        <v>49</v>
      </c>
      <c r="K48" t="s">
        <v>139</v>
      </c>
      <c r="M48" t="s">
        <v>137</v>
      </c>
      <c r="N48" t="s">
        <v>149</v>
      </c>
      <c r="O48" t="s">
        <v>119</v>
      </c>
    </row>
    <row r="49" spans="1:15" ht="21" customHeight="1" x14ac:dyDescent="0.2">
      <c r="A49" s="6">
        <v>28.1</v>
      </c>
      <c r="B49" s="6" t="s">
        <v>27</v>
      </c>
      <c r="C49" s="6" t="s">
        <v>27</v>
      </c>
      <c r="D49" s="1" t="s">
        <v>55</v>
      </c>
      <c r="E49" s="9"/>
      <c r="F49" s="9" t="s">
        <v>160</v>
      </c>
      <c r="G49" s="9"/>
      <c r="H49" s="4"/>
      <c r="I49" s="4">
        <v>1</v>
      </c>
      <c r="J49" s="2" t="s">
        <v>136</v>
      </c>
      <c r="K49" t="s">
        <v>118</v>
      </c>
      <c r="M49" t="s">
        <v>136</v>
      </c>
    </row>
    <row r="50" spans="1:15" ht="21" customHeight="1" x14ac:dyDescent="0.2">
      <c r="A50" s="6">
        <v>28.2</v>
      </c>
      <c r="B50" s="6" t="s">
        <v>27</v>
      </c>
      <c r="C50" s="6" t="s">
        <v>27</v>
      </c>
      <c r="D50" s="1" t="s">
        <v>57</v>
      </c>
      <c r="E50" s="9"/>
      <c r="F50" s="9" t="s">
        <v>160</v>
      </c>
      <c r="G50" s="9"/>
      <c r="H50" s="4"/>
      <c r="I50" s="4">
        <v>1</v>
      </c>
      <c r="J50" s="2" t="s">
        <v>136</v>
      </c>
      <c r="K50" t="s">
        <v>118</v>
      </c>
      <c r="M50" t="s">
        <v>136</v>
      </c>
    </row>
    <row r="51" spans="1:15" ht="21" customHeight="1" x14ac:dyDescent="0.2">
      <c r="A51" s="6">
        <v>28.3</v>
      </c>
      <c r="B51" s="6" t="s">
        <v>27</v>
      </c>
      <c r="C51" s="6" t="s">
        <v>27</v>
      </c>
      <c r="D51" s="1" t="s">
        <v>41</v>
      </c>
      <c r="E51" s="9"/>
      <c r="F51" s="9" t="s">
        <v>160</v>
      </c>
      <c r="G51" s="9"/>
      <c r="H51" s="4"/>
      <c r="I51" s="4">
        <v>1</v>
      </c>
      <c r="J51" s="2" t="s">
        <v>136</v>
      </c>
      <c r="K51" t="s">
        <v>118</v>
      </c>
      <c r="M51" t="s">
        <v>136</v>
      </c>
    </row>
    <row r="52" spans="1:15" ht="21" customHeight="1" x14ac:dyDescent="0.2">
      <c r="A52" s="6">
        <v>28.4</v>
      </c>
      <c r="B52" s="6" t="s">
        <v>27</v>
      </c>
      <c r="C52" s="6" t="s">
        <v>27</v>
      </c>
      <c r="D52" s="1" t="s">
        <v>56</v>
      </c>
      <c r="E52" s="9"/>
      <c r="F52" s="9" t="s">
        <v>160</v>
      </c>
      <c r="G52" s="9"/>
      <c r="H52" s="4"/>
      <c r="I52" s="4">
        <v>1</v>
      </c>
      <c r="J52" s="2" t="s">
        <v>136</v>
      </c>
      <c r="K52" t="s">
        <v>118</v>
      </c>
      <c r="M52" t="s">
        <v>136</v>
      </c>
    </row>
    <row r="53" spans="1:15" ht="21" customHeight="1" x14ac:dyDescent="0.2">
      <c r="A53" s="6">
        <v>29.1</v>
      </c>
      <c r="B53" s="6" t="s">
        <v>103</v>
      </c>
      <c r="C53" s="6" t="s">
        <v>28</v>
      </c>
      <c r="D53" s="1" t="s">
        <v>68</v>
      </c>
      <c r="E53" s="9"/>
      <c r="F53" s="9" t="s">
        <v>160</v>
      </c>
      <c r="G53" s="9"/>
      <c r="H53" s="4"/>
      <c r="I53" s="4">
        <v>1</v>
      </c>
      <c r="J53" s="2" t="s">
        <v>49</v>
      </c>
      <c r="K53" s="3" t="s">
        <v>118</v>
      </c>
      <c r="L53" s="3"/>
      <c r="M53" t="s">
        <v>136</v>
      </c>
    </row>
    <row r="54" spans="1:15" ht="21" customHeight="1" x14ac:dyDescent="0.2">
      <c r="A54" s="6">
        <v>29.2</v>
      </c>
      <c r="B54" s="6" t="s">
        <v>103</v>
      </c>
      <c r="C54" s="6" t="s">
        <v>28</v>
      </c>
      <c r="D54" s="1" t="s">
        <v>69</v>
      </c>
      <c r="E54" s="9"/>
      <c r="F54" s="9" t="s">
        <v>160</v>
      </c>
      <c r="G54" s="9"/>
      <c r="H54" s="4"/>
      <c r="I54" s="4">
        <v>1</v>
      </c>
      <c r="J54" s="2" t="s">
        <v>49</v>
      </c>
      <c r="K54" s="3" t="s">
        <v>118</v>
      </c>
      <c r="L54" s="3"/>
      <c r="M54" t="s">
        <v>136</v>
      </c>
    </row>
    <row r="55" spans="1:15" ht="21" customHeight="1" x14ac:dyDescent="0.2">
      <c r="A55" s="6">
        <v>29.3</v>
      </c>
      <c r="B55" s="6" t="s">
        <v>103</v>
      </c>
      <c r="C55" s="6" t="s">
        <v>28</v>
      </c>
      <c r="D55" s="1" t="s">
        <v>70</v>
      </c>
      <c r="E55" s="9"/>
      <c r="F55" s="9" t="s">
        <v>160</v>
      </c>
      <c r="G55" s="9"/>
      <c r="H55" s="4"/>
      <c r="I55" s="4">
        <v>1</v>
      </c>
      <c r="J55" s="2" t="s">
        <v>49</v>
      </c>
      <c r="K55" s="3" t="s">
        <v>118</v>
      </c>
      <c r="L55" s="3"/>
      <c r="M55" t="s">
        <v>136</v>
      </c>
    </row>
    <row r="56" spans="1:15" ht="21" customHeight="1" x14ac:dyDescent="0.2">
      <c r="A56" s="6">
        <v>29.4</v>
      </c>
      <c r="B56" s="6" t="s">
        <v>103</v>
      </c>
      <c r="C56" s="6" t="s">
        <v>28</v>
      </c>
      <c r="D56" s="1" t="s">
        <v>71</v>
      </c>
      <c r="E56" s="9"/>
      <c r="F56" s="9" t="s">
        <v>160</v>
      </c>
      <c r="G56" s="9"/>
      <c r="H56" s="4"/>
      <c r="I56" s="4">
        <v>1</v>
      </c>
      <c r="J56" s="2" t="s">
        <v>49</v>
      </c>
      <c r="K56" s="3" t="s">
        <v>118</v>
      </c>
      <c r="L56" s="3"/>
      <c r="M56" t="s">
        <v>136</v>
      </c>
    </row>
    <row r="57" spans="1:15" ht="21" customHeight="1" x14ac:dyDescent="0.2">
      <c r="A57" s="6">
        <v>29.5</v>
      </c>
      <c r="B57" s="6" t="s">
        <v>103</v>
      </c>
      <c r="C57" s="6" t="s">
        <v>28</v>
      </c>
      <c r="D57" s="1" t="s">
        <v>72</v>
      </c>
      <c r="E57" s="9"/>
      <c r="F57" s="9" t="s">
        <v>160</v>
      </c>
      <c r="G57" s="9"/>
      <c r="H57" s="4"/>
      <c r="I57" s="4">
        <v>1</v>
      </c>
      <c r="J57" s="2" t="s">
        <v>49</v>
      </c>
      <c r="K57" s="3" t="s">
        <v>118</v>
      </c>
      <c r="L57" s="3"/>
      <c r="M57" t="s">
        <v>136</v>
      </c>
    </row>
    <row r="58" spans="1:15" ht="21" customHeight="1" x14ac:dyDescent="0.2">
      <c r="A58" s="7">
        <v>30</v>
      </c>
      <c r="B58" s="7" t="s">
        <v>116</v>
      </c>
      <c r="C58" s="1" t="s">
        <v>29</v>
      </c>
      <c r="D58" s="1"/>
      <c r="E58" s="9"/>
      <c r="F58" s="9" t="s">
        <v>160</v>
      </c>
      <c r="G58" s="9"/>
      <c r="H58" s="4"/>
      <c r="I58" s="4">
        <v>1</v>
      </c>
      <c r="J58" s="2" t="s">
        <v>49</v>
      </c>
      <c r="K58" s="3" t="s">
        <v>118</v>
      </c>
      <c r="L58" s="3"/>
      <c r="M58" t="s">
        <v>136</v>
      </c>
    </row>
    <row r="59" spans="1:15" ht="21" customHeight="1" x14ac:dyDescent="0.2">
      <c r="A59" s="7">
        <v>31</v>
      </c>
      <c r="B59" s="7" t="s">
        <v>86</v>
      </c>
      <c r="C59" s="1" t="s">
        <v>30</v>
      </c>
      <c r="D59" s="1"/>
      <c r="E59" s="9" t="s">
        <v>169</v>
      </c>
      <c r="F59" s="9" t="s">
        <v>162</v>
      </c>
      <c r="G59" s="9"/>
      <c r="H59" s="4"/>
      <c r="I59" s="4">
        <v>1</v>
      </c>
      <c r="J59" s="2" t="s">
        <v>50</v>
      </c>
      <c r="K59" t="s">
        <v>145</v>
      </c>
      <c r="M59" t="s">
        <v>126</v>
      </c>
    </row>
    <row r="60" spans="1:15" ht="21" customHeight="1" x14ac:dyDescent="0.2">
      <c r="A60" s="7">
        <v>32</v>
      </c>
      <c r="B60" s="7" t="s">
        <v>112</v>
      </c>
      <c r="C60" s="1" t="s">
        <v>31</v>
      </c>
      <c r="D60" s="1" t="s">
        <v>73</v>
      </c>
      <c r="E60" s="9" t="s">
        <v>170</v>
      </c>
      <c r="F60" s="9" t="s">
        <v>162</v>
      </c>
      <c r="G60" s="9"/>
      <c r="H60" s="4"/>
      <c r="I60" s="4">
        <v>1</v>
      </c>
      <c r="J60" s="2" t="s">
        <v>164</v>
      </c>
      <c r="K60" s="3" t="s">
        <v>51</v>
      </c>
      <c r="L60" s="3"/>
      <c r="M60" t="s">
        <v>126</v>
      </c>
    </row>
    <row r="61" spans="1:15" ht="21" customHeight="1" x14ac:dyDescent="0.2">
      <c r="A61" s="7">
        <v>33</v>
      </c>
      <c r="B61" s="7" t="s">
        <v>113</v>
      </c>
      <c r="C61" s="1" t="s">
        <v>32</v>
      </c>
      <c r="D61" s="1"/>
      <c r="E61" s="9" t="s">
        <v>175</v>
      </c>
      <c r="F61" s="9" t="s">
        <v>162</v>
      </c>
      <c r="G61" s="9" t="s">
        <v>160</v>
      </c>
      <c r="H61" s="4" t="s">
        <v>176</v>
      </c>
      <c r="I61" s="4">
        <v>1</v>
      </c>
      <c r="J61" s="2" t="s">
        <v>49</v>
      </c>
      <c r="K61" s="3" t="s">
        <v>51</v>
      </c>
      <c r="M61" t="s">
        <v>126</v>
      </c>
      <c r="N61" t="s">
        <v>184</v>
      </c>
    </row>
    <row r="62" spans="1:15" ht="21" customHeight="1" x14ac:dyDescent="0.2">
      <c r="A62" s="7">
        <v>34</v>
      </c>
      <c r="B62" s="7" t="s">
        <v>110</v>
      </c>
      <c r="C62" s="1" t="s">
        <v>33</v>
      </c>
      <c r="D62" s="1"/>
      <c r="E62" s="9"/>
      <c r="F62" s="9" t="s">
        <v>162</v>
      </c>
      <c r="G62" s="9"/>
      <c r="H62" s="4"/>
      <c r="I62" s="4">
        <v>1</v>
      </c>
      <c r="J62" s="2" t="s">
        <v>49</v>
      </c>
      <c r="K62" s="3" t="s">
        <v>145</v>
      </c>
      <c r="M62" t="s">
        <v>126</v>
      </c>
    </row>
    <row r="63" spans="1:15" ht="21" customHeight="1" x14ac:dyDescent="0.2">
      <c r="A63" s="7">
        <v>35</v>
      </c>
      <c r="B63" s="7" t="s">
        <v>34</v>
      </c>
      <c r="C63" s="1" t="s">
        <v>34</v>
      </c>
      <c r="E63" s="1" t="s">
        <v>178</v>
      </c>
      <c r="F63" s="9" t="s">
        <v>162</v>
      </c>
      <c r="G63" s="9"/>
      <c r="H63" s="4"/>
      <c r="I63" s="4">
        <v>1</v>
      </c>
      <c r="J63" s="2" t="s">
        <v>136</v>
      </c>
      <c r="K63" s="3" t="s">
        <v>143</v>
      </c>
      <c r="L63" s="3"/>
      <c r="M63" t="s">
        <v>126</v>
      </c>
      <c r="N63" s="1" t="s">
        <v>171</v>
      </c>
    </row>
    <row r="64" spans="1:15" ht="21" customHeight="1" x14ac:dyDescent="0.2">
      <c r="A64" s="7">
        <v>36</v>
      </c>
      <c r="B64" s="7" t="s">
        <v>107</v>
      </c>
      <c r="C64" s="1" t="s">
        <v>35</v>
      </c>
      <c r="D64" s="1"/>
      <c r="E64" s="9"/>
      <c r="F64" s="9" t="s">
        <v>160</v>
      </c>
      <c r="G64" s="9"/>
      <c r="H64" s="4"/>
      <c r="I64" s="4">
        <v>1</v>
      </c>
      <c r="J64" s="2" t="s">
        <v>164</v>
      </c>
      <c r="K64" s="3" t="s">
        <v>51</v>
      </c>
      <c r="L64" s="3"/>
      <c r="M64" t="s">
        <v>126</v>
      </c>
      <c r="N64" t="s">
        <v>177</v>
      </c>
      <c r="O64" t="s">
        <v>177</v>
      </c>
    </row>
    <row r="65" spans="1:15" ht="21" customHeight="1" x14ac:dyDescent="0.2">
      <c r="A65" s="7">
        <v>37</v>
      </c>
      <c r="B65" s="7" t="s">
        <v>97</v>
      </c>
      <c r="C65" s="1" t="s">
        <v>36</v>
      </c>
      <c r="D65" s="1"/>
      <c r="E65" s="9"/>
      <c r="F65" s="9" t="s">
        <v>160</v>
      </c>
      <c r="G65" s="9"/>
      <c r="H65" s="4"/>
      <c r="I65" s="4">
        <v>1</v>
      </c>
      <c r="J65" s="2" t="s">
        <v>164</v>
      </c>
      <c r="K65" s="3" t="s">
        <v>51</v>
      </c>
      <c r="L65" s="3"/>
      <c r="M65" t="s">
        <v>126</v>
      </c>
      <c r="N65" t="s">
        <v>152</v>
      </c>
    </row>
    <row r="66" spans="1:15" ht="21" customHeight="1" x14ac:dyDescent="0.2">
      <c r="A66" s="7">
        <v>38</v>
      </c>
      <c r="B66" s="7" t="s">
        <v>100</v>
      </c>
      <c r="C66" s="1" t="s">
        <v>37</v>
      </c>
      <c r="D66" s="1"/>
      <c r="E66" s="9"/>
      <c r="F66" s="9" t="s">
        <v>160</v>
      </c>
      <c r="G66" s="9"/>
      <c r="H66" s="4"/>
      <c r="I66" s="4">
        <v>1</v>
      </c>
      <c r="J66" s="2" t="s">
        <v>49</v>
      </c>
      <c r="K66" t="s">
        <v>118</v>
      </c>
      <c r="M66" t="s">
        <v>136</v>
      </c>
    </row>
    <row r="67" spans="1:15" ht="21" customHeight="1" x14ac:dyDescent="0.2">
      <c r="A67" s="6">
        <v>39.1</v>
      </c>
      <c r="B67" s="6" t="s">
        <v>82</v>
      </c>
      <c r="C67" s="6" t="s">
        <v>38</v>
      </c>
      <c r="D67" s="1" t="s">
        <v>66</v>
      </c>
      <c r="E67" s="9"/>
      <c r="F67" s="9" t="s">
        <v>162</v>
      </c>
      <c r="G67" s="9"/>
      <c r="H67" s="4"/>
      <c r="I67" s="4">
        <v>1</v>
      </c>
      <c r="J67" s="2" t="s">
        <v>164</v>
      </c>
      <c r="K67" t="s">
        <v>143</v>
      </c>
      <c r="L67">
        <v>28</v>
      </c>
      <c r="M67" t="s">
        <v>126</v>
      </c>
      <c r="N67" s="19" t="s">
        <v>185</v>
      </c>
    </row>
    <row r="68" spans="1:15" ht="21" customHeight="1" x14ac:dyDescent="0.2">
      <c r="A68" s="6">
        <v>39.200000000000003</v>
      </c>
      <c r="B68" s="6" t="s">
        <v>82</v>
      </c>
      <c r="C68" s="6" t="s">
        <v>38</v>
      </c>
      <c r="D68" s="1" t="s">
        <v>65</v>
      </c>
      <c r="E68" s="9"/>
      <c r="F68" s="9" t="s">
        <v>162</v>
      </c>
      <c r="G68" s="9"/>
      <c r="H68" s="4"/>
      <c r="I68" s="4">
        <v>1</v>
      </c>
      <c r="J68" s="2" t="s">
        <v>164</v>
      </c>
      <c r="K68" t="s">
        <v>143</v>
      </c>
      <c r="L68">
        <v>28</v>
      </c>
      <c r="M68" t="s">
        <v>126</v>
      </c>
      <c r="N68" s="19" t="s">
        <v>185</v>
      </c>
    </row>
    <row r="69" spans="1:15" ht="21" customHeight="1" x14ac:dyDescent="0.2">
      <c r="A69" s="6">
        <v>40.1</v>
      </c>
      <c r="B69" s="6" t="s">
        <v>106</v>
      </c>
      <c r="C69" s="6" t="s">
        <v>39</v>
      </c>
      <c r="D69" s="1" t="s">
        <v>66</v>
      </c>
      <c r="E69" s="9"/>
      <c r="F69" s="9" t="s">
        <v>160</v>
      </c>
      <c r="G69" s="9"/>
      <c r="H69" s="4"/>
      <c r="I69" s="4">
        <v>1</v>
      </c>
      <c r="J69" s="2" t="s">
        <v>49</v>
      </c>
      <c r="K69" s="3" t="s">
        <v>118</v>
      </c>
      <c r="L69" s="3"/>
      <c r="M69" t="s">
        <v>136</v>
      </c>
    </row>
    <row r="70" spans="1:15" ht="21" customHeight="1" x14ac:dyDescent="0.2">
      <c r="A70" s="6">
        <v>40.200000000000003</v>
      </c>
      <c r="B70" s="6" t="s">
        <v>106</v>
      </c>
      <c r="C70" s="6" t="s">
        <v>39</v>
      </c>
      <c r="D70" s="1" t="s">
        <v>65</v>
      </c>
      <c r="E70" s="9"/>
      <c r="F70" s="9" t="s">
        <v>160</v>
      </c>
      <c r="G70" s="9"/>
      <c r="H70" s="4"/>
      <c r="I70" s="4">
        <v>1</v>
      </c>
      <c r="J70" s="2" t="s">
        <v>49</v>
      </c>
      <c r="K70" s="3" t="s">
        <v>118</v>
      </c>
      <c r="L70" s="3"/>
      <c r="M70" t="s">
        <v>136</v>
      </c>
    </row>
    <row r="71" spans="1:15" ht="21" customHeight="1" x14ac:dyDescent="0.2">
      <c r="A71" s="7">
        <v>41</v>
      </c>
      <c r="B71" s="7" t="s">
        <v>92</v>
      </c>
      <c r="C71" s="1" t="s">
        <v>40</v>
      </c>
      <c r="D71" s="1"/>
      <c r="E71" s="9"/>
      <c r="F71" s="9" t="s">
        <v>160</v>
      </c>
      <c r="G71" s="9"/>
      <c r="H71" s="4"/>
      <c r="I71" s="4">
        <v>1</v>
      </c>
      <c r="J71" s="2" t="s">
        <v>49</v>
      </c>
      <c r="K71" t="s">
        <v>118</v>
      </c>
      <c r="M71" t="s">
        <v>136</v>
      </c>
      <c r="N71" t="s">
        <v>147</v>
      </c>
    </row>
    <row r="72" spans="1:15" ht="21" customHeight="1" x14ac:dyDescent="0.2">
      <c r="A72" s="7">
        <v>42</v>
      </c>
      <c r="B72" s="10" t="s">
        <v>93</v>
      </c>
      <c r="C72" s="1" t="s">
        <v>41</v>
      </c>
      <c r="D72" s="1"/>
      <c r="E72" s="9"/>
      <c r="F72" s="9" t="s">
        <v>160</v>
      </c>
      <c r="G72" s="9"/>
      <c r="H72" s="4"/>
      <c r="I72" s="4">
        <v>1</v>
      </c>
      <c r="J72" s="2" t="s">
        <v>49</v>
      </c>
      <c r="K72" t="s">
        <v>118</v>
      </c>
      <c r="M72" t="s">
        <v>136</v>
      </c>
      <c r="O72" t="s">
        <v>121</v>
      </c>
    </row>
    <row r="73" spans="1:15" ht="21" customHeight="1" x14ac:dyDescent="0.2">
      <c r="A73" s="6">
        <v>43.1</v>
      </c>
      <c r="B73" s="6" t="s">
        <v>42</v>
      </c>
      <c r="C73" s="6" t="s">
        <v>42</v>
      </c>
      <c r="D73" s="1" t="s">
        <v>66</v>
      </c>
      <c r="E73" s="9"/>
      <c r="F73" s="9" t="s">
        <v>160</v>
      </c>
      <c r="G73" s="9"/>
      <c r="H73" s="4"/>
      <c r="I73" s="4">
        <v>1</v>
      </c>
      <c r="J73" s="2" t="s">
        <v>136</v>
      </c>
      <c r="K73" t="s">
        <v>118</v>
      </c>
      <c r="M73" t="s">
        <v>136</v>
      </c>
    </row>
    <row r="74" spans="1:15" ht="21" customHeight="1" x14ac:dyDescent="0.2">
      <c r="A74" s="6">
        <v>43.2</v>
      </c>
      <c r="B74" s="6" t="s">
        <v>42</v>
      </c>
      <c r="C74" s="6" t="s">
        <v>42</v>
      </c>
      <c r="D74" s="1" t="s">
        <v>65</v>
      </c>
      <c r="E74" s="9"/>
      <c r="F74" s="9" t="s">
        <v>160</v>
      </c>
      <c r="G74" s="9"/>
      <c r="H74" s="4"/>
      <c r="I74" s="4">
        <v>1</v>
      </c>
      <c r="J74" s="2" t="s">
        <v>136</v>
      </c>
      <c r="K74" t="s">
        <v>118</v>
      </c>
      <c r="M74" t="s">
        <v>136</v>
      </c>
    </row>
    <row r="75" spans="1:15" ht="21" customHeight="1" x14ac:dyDescent="0.2">
      <c r="A75" s="1">
        <v>44</v>
      </c>
      <c r="B75" s="1" t="s">
        <v>43</v>
      </c>
      <c r="C75" s="1" t="s">
        <v>43</v>
      </c>
      <c r="D75" s="1"/>
      <c r="E75" s="9"/>
      <c r="F75" s="9" t="s">
        <v>160</v>
      </c>
      <c r="G75" s="9"/>
      <c r="H75" s="4"/>
      <c r="I75" s="4">
        <v>1</v>
      </c>
      <c r="J75" s="2" t="s">
        <v>49</v>
      </c>
      <c r="K75" s="3" t="s">
        <v>118</v>
      </c>
      <c r="L75" s="3"/>
      <c r="M75" t="s">
        <v>136</v>
      </c>
    </row>
    <row r="76" spans="1:15" ht="21" customHeight="1" x14ac:dyDescent="0.2">
      <c r="A76" s="1">
        <v>45</v>
      </c>
      <c r="B76" s="1" t="s">
        <v>87</v>
      </c>
      <c r="C76" s="1" t="s">
        <v>44</v>
      </c>
      <c r="D76" s="1"/>
      <c r="E76" s="9"/>
      <c r="F76" s="9" t="s">
        <v>160</v>
      </c>
      <c r="G76" s="9"/>
      <c r="H76" s="4"/>
      <c r="I76" s="4">
        <v>1</v>
      </c>
      <c r="J76" s="2" t="s">
        <v>136</v>
      </c>
      <c r="K76" t="s">
        <v>118</v>
      </c>
      <c r="M76" t="s">
        <v>136</v>
      </c>
    </row>
    <row r="77" spans="1:15" ht="21" customHeight="1" x14ac:dyDescent="0.2">
      <c r="A77" s="1">
        <v>46</v>
      </c>
      <c r="B77" s="1" t="s">
        <v>115</v>
      </c>
      <c r="C77" s="1" t="s">
        <v>45</v>
      </c>
      <c r="D77" s="1"/>
      <c r="E77" s="9"/>
      <c r="F77" s="9" t="s">
        <v>160</v>
      </c>
      <c r="G77" s="9"/>
      <c r="H77" s="4"/>
      <c r="I77" s="4">
        <v>1</v>
      </c>
      <c r="J77" s="2" t="s">
        <v>49</v>
      </c>
      <c r="K77" s="3" t="s">
        <v>139</v>
      </c>
      <c r="L77" s="3"/>
      <c r="M77" t="s">
        <v>126</v>
      </c>
      <c r="N77" t="s">
        <v>149</v>
      </c>
    </row>
    <row r="78" spans="1:15" ht="21" customHeight="1" x14ac:dyDescent="0.2">
      <c r="A78" s="6">
        <v>47.1</v>
      </c>
      <c r="B78" s="6" t="s">
        <v>79</v>
      </c>
      <c r="C78" s="6" t="s">
        <v>46</v>
      </c>
      <c r="D78" s="1" t="s">
        <v>66</v>
      </c>
      <c r="E78" s="9"/>
      <c r="F78" s="9" t="s">
        <v>160</v>
      </c>
      <c r="G78" s="9"/>
      <c r="H78" s="4"/>
      <c r="I78" s="4" t="s">
        <v>125</v>
      </c>
      <c r="J78" s="2" t="s">
        <v>49</v>
      </c>
      <c r="K78" t="s">
        <v>139</v>
      </c>
      <c r="M78" t="s">
        <v>137</v>
      </c>
      <c r="N78" s="15" t="s">
        <v>141</v>
      </c>
    </row>
    <row r="79" spans="1:15" ht="21" customHeight="1" x14ac:dyDescent="0.2">
      <c r="A79" s="6">
        <v>47.2</v>
      </c>
      <c r="B79" s="6" t="s">
        <v>79</v>
      </c>
      <c r="C79" s="6" t="s">
        <v>46</v>
      </c>
      <c r="D79" t="s">
        <v>65</v>
      </c>
      <c r="F79" s="15" t="s">
        <v>160</v>
      </c>
      <c r="I79" s="4" t="s">
        <v>125</v>
      </c>
      <c r="J79" s="2" t="s">
        <v>49</v>
      </c>
      <c r="K79" t="s">
        <v>139</v>
      </c>
      <c r="M79" t="s">
        <v>137</v>
      </c>
      <c r="N79" s="15" t="s">
        <v>141</v>
      </c>
    </row>
    <row r="80" spans="1:15" ht="21" customHeight="1" x14ac:dyDescent="0.2">
      <c r="A80" s="7">
        <v>48</v>
      </c>
      <c r="B80" s="7" t="s">
        <v>77</v>
      </c>
      <c r="C80" s="1" t="s">
        <v>122</v>
      </c>
    </row>
    <row r="81" spans="1:10" ht="21" customHeight="1" x14ac:dyDescent="0.2">
      <c r="A81" s="7">
        <v>49</v>
      </c>
      <c r="B81" s="7" t="s">
        <v>78</v>
      </c>
      <c r="C81" s="1" t="s">
        <v>122</v>
      </c>
    </row>
    <row r="82" spans="1:10" ht="21" customHeight="1" x14ac:dyDescent="0.2">
      <c r="A82" s="7">
        <v>50</v>
      </c>
      <c r="B82" s="7" t="s">
        <v>84</v>
      </c>
      <c r="C82" s="1" t="s">
        <v>122</v>
      </c>
    </row>
    <row r="83" spans="1:10" ht="21" customHeight="1" x14ac:dyDescent="0.2">
      <c r="A83" s="7">
        <v>51</v>
      </c>
      <c r="B83" s="7" t="s">
        <v>91</v>
      </c>
      <c r="C83" s="1" t="s">
        <v>122</v>
      </c>
    </row>
    <row r="84" spans="1:10" ht="21" customHeight="1" x14ac:dyDescent="0.2">
      <c r="A84" s="7">
        <v>52</v>
      </c>
      <c r="B84" s="7" t="s">
        <v>104</v>
      </c>
      <c r="C84" s="1" t="s">
        <v>122</v>
      </c>
    </row>
    <row r="85" spans="1:10" ht="21" customHeight="1" x14ac:dyDescent="0.2">
      <c r="A85" s="7">
        <v>53</v>
      </c>
      <c r="B85" s="7" t="s">
        <v>105</v>
      </c>
      <c r="C85" s="1" t="s">
        <v>122</v>
      </c>
    </row>
    <row r="86" spans="1:10" ht="21" customHeight="1" x14ac:dyDescent="0.2">
      <c r="A86" s="7">
        <v>54</v>
      </c>
      <c r="B86" s="7" t="s">
        <v>109</v>
      </c>
      <c r="C86" s="1" t="s">
        <v>122</v>
      </c>
    </row>
    <row r="87" spans="1:10" ht="21" customHeight="1" x14ac:dyDescent="0.2">
      <c r="A87" s="7">
        <v>55</v>
      </c>
      <c r="B87" s="7" t="s">
        <v>62</v>
      </c>
      <c r="C87" s="1" t="s">
        <v>122</v>
      </c>
    </row>
    <row r="88" spans="1:10" ht="21" customHeight="1" x14ac:dyDescent="0.2">
      <c r="A88" s="7">
        <v>56</v>
      </c>
      <c r="B88" s="7" t="s">
        <v>111</v>
      </c>
      <c r="C88" s="1" t="s">
        <v>122</v>
      </c>
    </row>
    <row r="89" spans="1:10" ht="21" customHeight="1" x14ac:dyDescent="0.2">
      <c r="A89" s="7">
        <v>57</v>
      </c>
      <c r="B89" s="7" t="s">
        <v>114</v>
      </c>
      <c r="C89" s="1" t="s">
        <v>122</v>
      </c>
    </row>
    <row r="90" spans="1:10" ht="21" customHeight="1" x14ac:dyDescent="0.2">
      <c r="A90" s="7">
        <v>58</v>
      </c>
      <c r="B90" s="2" t="s">
        <v>79</v>
      </c>
      <c r="C90" s="2" t="s">
        <v>46</v>
      </c>
      <c r="J90" s="2" t="s">
        <v>49</v>
      </c>
    </row>
  </sheetData>
  <autoFilter ref="A1:O90" xr:uid="{4D97BE34-E69D-474C-B192-4A446D272457}">
    <sortState xmlns:xlrd2="http://schemas.microsoft.com/office/spreadsheetml/2017/richdata2" ref="A2:O89">
      <sortCondition ref="A1:A89"/>
    </sortState>
  </autoFilter>
  <conditionalFormatting sqref="J2:J1048576">
    <cfRule type="cellIs" dxfId="13" priority="1" operator="equal">
      <formula>"User"</formula>
    </cfRule>
    <cfRule type="cellIs" dxfId="12" priority="12" operator="equal">
      <formula>"Done"</formula>
    </cfRule>
    <cfRule type="cellIs" dxfId="11" priority="13" operator="equal">
      <formula>"Doing"</formula>
    </cfRule>
    <cfRule type="cellIs" dxfId="10" priority="14" operator="equal">
      <formula>"Pending"</formula>
    </cfRule>
  </conditionalFormatting>
  <conditionalFormatting sqref="K2:L2 K4:L85 K87:L1048576">
    <cfRule type="cellIs" dxfId="9" priority="6" operator="equal">
      <formula>"None"</formula>
    </cfRule>
    <cfRule type="cellIs" dxfId="8" priority="9" operator="equal">
      <formula>"Date"</formula>
    </cfRule>
    <cfRule type="cellIs" dxfId="7" priority="10" operator="equal">
      <formula>"LLM summary"</formula>
    </cfRule>
  </conditionalFormatting>
  <conditionalFormatting sqref="K2:L85 K87:L1048576">
    <cfRule type="cellIs" dxfId="6" priority="2" operator="equal">
      <formula>"Geospatial"</formula>
    </cfRule>
    <cfRule type="cellIs" dxfId="5" priority="3" operator="equal">
      <formula>"Direct value"</formula>
    </cfRule>
    <cfRule type="cellIs" dxfId="4" priority="4" operator="equal">
      <formula>"Controlled Vocabulary"</formula>
    </cfRule>
  </conditionalFormatting>
  <conditionalFormatting sqref="M2:M35 M36:N37 M38:M1048576">
    <cfRule type="cellIs" dxfId="3" priority="11" operator="equal">
      <formula>"Yoda"</formula>
    </cfRule>
  </conditionalFormatting>
  <conditionalFormatting sqref="M2:M1048576">
    <cfRule type="cellIs" dxfId="2" priority="7" operator="equal">
      <formula>"Static"</formula>
    </cfRule>
    <cfRule type="cellIs" dxfId="1" priority="8" operator="equal">
      <formula>"User"</formula>
    </cfRule>
  </conditionalFormatting>
  <conditionalFormatting sqref="O2:O63 O65:O1048576">
    <cfRule type="notContainsBlanks" dxfId="0" priority="5">
      <formula>LEN(TRIM(O2))&gt;0</formula>
    </cfRule>
  </conditionalFormatting>
  <dataValidations count="3">
    <dataValidation type="list" allowBlank="1" showInputMessage="1" showErrorMessage="1" sqref="J2:J1048576" xr:uid="{14A75A57-D549-7A45-8106-427361331FF9}">
      <formula1>"Done,Doing,Pending,User"</formula1>
    </dataValidation>
    <dataValidation type="list" allowBlank="1" showInputMessage="1" showErrorMessage="1" sqref="N36:N37" xr:uid="{C075D713-802A-E643-AB74-C6B3AD025807}">
      <formula1>"Yoda, User, Static, Not-Extracted"</formula1>
    </dataValidation>
    <dataValidation type="list" allowBlank="1" showInputMessage="1" showErrorMessage="1" sqref="M2:M1048576" xr:uid="{69B7D2ED-59A9-4C46-8031-769AB0851198}">
      <formula1>"Yoda, User, Static,"</formula1>
    </dataValidation>
  </dataValidations>
  <hyperlinks>
    <hyperlink ref="N15" r:id="rId1" xr:uid="{F8A786D3-E4AD-6249-9664-D9FE47EFCF22}"/>
    <hyperlink ref="N34" r:id="rId2" xr:uid="{25BE0625-73B2-224B-B266-948290146468}"/>
    <hyperlink ref="N67" r:id="rId3" xr:uid="{EB150A3B-8302-E544-B7E1-7B4D23FE98C9}"/>
    <hyperlink ref="N28" r:id="rId4" xr:uid="{7E92782D-7E6A-6846-A09D-F9272F82D2CE}"/>
    <hyperlink ref="N29" r:id="rId5" xr:uid="{92CF009D-B15A-4C4B-9BF3-C19DEB809DE3}"/>
    <hyperlink ref="N20" r:id="rId6" xr:uid="{3EF89788-39E6-374B-A7E0-ECCB4D2493AB}"/>
    <hyperlink ref="N21" r:id="rId7" xr:uid="{90DC4BD6-DD6F-4A4B-A460-043D655A0901}"/>
    <hyperlink ref="N19" r:id="rId8" xr:uid="{610D7C47-319C-EF42-AD9B-D50A34CDEF29}"/>
    <hyperlink ref="N27" r:id="rId9" xr:uid="{C89B9BC7-23AD-6E45-AA2B-81E8BCA6B445}"/>
    <hyperlink ref="N32" r:id="rId10" xr:uid="{285CFE5B-DF42-CD4A-80E0-C312B44C5613}"/>
    <hyperlink ref="N68" r:id="rId11" xr:uid="{D0D40C92-5791-F143-B746-75808D6EAF6D}"/>
    <hyperlink ref="N35" r:id="rId12" xr:uid="{0010D3BE-660C-4E4A-BEDB-8AB19349E2EC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Conde Diaz</dc:creator>
  <cp:lastModifiedBy>Javier Conde Diaz</cp:lastModifiedBy>
  <dcterms:created xsi:type="dcterms:W3CDTF">2026-05-31T09:35:48Z</dcterms:created>
  <dcterms:modified xsi:type="dcterms:W3CDTF">2026-06-02T13:58:56Z</dcterms:modified>
</cp:coreProperties>
</file>